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br/Desktop/bjontegaard_etro/"/>
    </mc:Choice>
  </mc:AlternateContent>
  <bookViews>
    <workbookView xWindow="5720" yWindow="6100" windowWidth="25440" windowHeight="15080"/>
  </bookViews>
  <sheets>
    <sheet name="License and usage" sheetId="3" r:id="rId1"/>
    <sheet name="ETRO Example 9-points" sheetId="1" r:id="rId2"/>
    <sheet name="Verification with VCEG-M33" sheetId="2" r:id="rId3"/>
  </sheets>
  <externalReferences>
    <externalReference r:id="rId4"/>
  </externalReferences>
  <definedNames>
    <definedName name="psnr1" localSheetId="2">OFFSET('Verification with VCEG-M33'!$B$5, 0, 0, COUNTA('Verification with VCEG-M33'!$B$5:$B$101), 1)</definedName>
    <definedName name="psnr2" localSheetId="2">OFFSET('Verification with VCEG-M33'!$D$5, 0, 0, COUNTA('Verification with VCEG-M33'!$D$5:$D$101), 1)</definedName>
    <definedName name="rates1" localSheetId="2">OFFSET('Verification with VCEG-M33'!$A$5, 0, 0, COUNTA('Verification with VCEG-M33'!$A$5:$A$101), 1)</definedName>
    <definedName name="rates2" localSheetId="2">OFFSET('Verification with VCEG-M33'!$C$5, 0, 0, COUNTA('Verification with VCEG-M33'!$C$5:$C$101), 1)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4" i="2" l="1"/>
  <c r="M4" i="2"/>
  <c r="I5" i="2"/>
  <c r="I4" i="2"/>
  <c r="J3" i="1"/>
  <c r="I3" i="1"/>
  <c r="C3" i="1"/>
  <c r="C4" i="1"/>
  <c r="C5" i="1"/>
  <c r="C6" i="1"/>
  <c r="C7" i="1"/>
  <c r="C8" i="1"/>
  <c r="C9" i="1"/>
  <c r="C10" i="1"/>
  <c r="C11" i="1"/>
</calcChain>
</file>

<file path=xl/sharedStrings.xml><?xml version="1.0" encoding="utf-8"?>
<sst xmlns="http://schemas.openxmlformats.org/spreadsheetml/2006/main" count="62" uniqueCount="48">
  <si>
    <t>barb512</t>
  </si>
  <si>
    <t>3DCS</t>
  </si>
  <si>
    <t>KDU</t>
  </si>
  <si>
    <t>Image</t>
  </si>
  <si>
    <t>Target rate</t>
  </si>
  <si>
    <t>9x7, 5 levels</t>
  </si>
  <si>
    <t>Rate</t>
  </si>
  <si>
    <t>PSNR</t>
  </si>
  <si>
    <t>B-DBR</t>
  </si>
  <si>
    <t>B-DSNR</t>
  </si>
  <si>
    <t>CB size</t>
  </si>
  <si>
    <t>Curve1</t>
  </si>
  <si>
    <t>Curve2</t>
  </si>
  <si>
    <t>B-DSNR (dB)</t>
  </si>
  <si>
    <t>B-DBR (%)</t>
  </si>
  <si>
    <t>B-DSNR #p</t>
  </si>
  <si>
    <t>B-DBR #p</t>
  </si>
  <si>
    <t>bit-rate</t>
  </si>
  <si>
    <t>psnr</t>
  </si>
  <si>
    <t>ETRO Version</t>
  </si>
  <si>
    <t>This sheet was copied from the original M33 Excel example. The numbers are static (original VBA code removed).</t>
  </si>
  <si>
    <t>These numbers are dynamically calculated with the ETRO Bjontegaard version and should match EXACTLY with the original numbers.</t>
  </si>
  <si>
    <t>Bjontegaard Metric implementation for Excel.</t>
  </si>
  <si>
    <t>BDSNR(BR1, PSNR1, BR2, PSNR2)</t>
  </si>
  <si>
    <t>Returns the delta-SNR Bjontegaard (in dB)</t>
  </si>
  <si>
    <t>BDBR(BR1, PSNR1, BR2, PSNR2)</t>
  </si>
  <si>
    <t>Returns the delta-rate Bjontegaard (in %)</t>
  </si>
  <si>
    <t>Author:</t>
  </si>
  <si>
    <t>Provides two functions:</t>
  </si>
  <si>
    <t>Tim Bruylants, ETRO, Vrije Universiteit Brussel</t>
  </si>
  <si>
    <t>References:</t>
  </si>
  <si>
    <t>[1] G. Bjontegaard, Calculation of average PSNR differences between RD-curves (VCEG-M33)</t>
  </si>
  <si>
    <t>[2] S. Pateux, J. Jung, An excel add-in for computing Bjontegaard metric and its evolution</t>
  </si>
  <si>
    <t>The MIT License (MIT)</t>
  </si>
  <si>
    <t>Copyright (c) 2013 Tim Bruylants, ETRO, Vrije Universiteit Brussel</t>
  </si>
  <si>
    <t>Permission is hereby granted, free of charge, to any person obtaining a copy of this software</t>
  </si>
  <si>
    <t>and associated documentation files (the "Software"), to deal in the Software without</t>
  </si>
  <si>
    <t>restriction, including without limitation the rights to use, copy, modify, merge, publish,</t>
  </si>
  <si>
    <t>distribute, sublicense, and/or sell copies of the Software, and to permit persons to whom</t>
  </si>
  <si>
    <t>the Software is furnished to do so, subject to the following conditions:</t>
  </si>
  <si>
    <t>The above copyright notice and this permission notice shall be included in all copies or</t>
  </si>
  <si>
    <t>substantial portions of the Software.</t>
  </si>
  <si>
    <t>DEALINGS IN THE SOFTWARE.</t>
  </si>
  <si>
    <t>OTHERWISE, ARISING FROM, OUT OF OR IN CONNECTION WITH THE SOFTWARE OR THE USE OR OTHER</t>
  </si>
  <si>
    <t>FOR ANY CLAIM, DAMAGES OR OTHER LIABILITY, WHETHER IN AN ACTION OF CONTRACT, TORT OR</t>
  </si>
  <si>
    <t>PURPOSE AND NONINFRINGEMENT. IN NO EVENT SHALL THE AUTHORS OR COPYRIGHT HOLDERS BE LIABLE</t>
  </si>
  <si>
    <t>INCLUDING BUT NOT LIMITED TO THE WARRANTIES OF MERCHANTABILITY, FITNESS FOR A PARTICULAR</t>
  </si>
  <si>
    <t>THE SOFTWARE IS PROVIDED "AS IS", WITHOUT WARRANTY OF ANY KIND, EXPRESS OR IMPLIED,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</si>
</sst>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#,##0.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onsolas"/>
      <family val="3"/>
    </font>
    <font>
      <sz val="12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color theme="1"/>
      <name val="Calibri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9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8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18" fillId="0" borderId="0" xfId="0" applyFont="1" applyAlignment="1">
      <alignment horizontal="center"/>
    </xf>
    <xf numFmtId="164" fontId="0" fillId="0" borderId="0" xfId="0" applyNumberFormat="1" applyFont="1" applyBorder="1" applyAlignment="1" applyProtection="1">
      <protection locked="0"/>
    </xf>
    <xf numFmtId="164" fontId="0" fillId="0" borderId="0" xfId="0" applyNumberFormat="1" applyAlignment="1"/>
    <xf numFmtId="2" fontId="0" fillId="0" borderId="0" xfId="0" applyNumberFormat="1" applyFont="1" applyBorder="1" applyAlignment="1" applyProtection="1">
      <protection locked="0"/>
    </xf>
    <xf numFmtId="2" fontId="0" fillId="0" borderId="0" xfId="0" applyNumberFormat="1" applyAlignment="1"/>
    <xf numFmtId="0" fontId="0" fillId="0" borderId="0" xfId="0" applyAlignment="1"/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15" xfId="0" applyBorder="1"/>
    <xf numFmtId="0" fontId="0" fillId="0" borderId="0" xfId="0" applyFont="1" applyFill="1" applyBorder="1" applyAlignment="1">
      <alignment horizontal="left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6" fillId="0" borderId="19" xfId="0" applyFont="1" applyBorder="1"/>
    <xf numFmtId="0" fontId="0" fillId="0" borderId="0" xfId="0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16" fillId="0" borderId="22" xfId="0" applyFont="1" applyBorder="1"/>
    <xf numFmtId="165" fontId="0" fillId="0" borderId="21" xfId="0" applyNumberFormat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1" xfId="0" applyBorder="1" applyProtection="1">
      <protection locked="0"/>
    </xf>
    <xf numFmtId="0" fontId="0" fillId="0" borderId="20" xfId="0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21" xfId="0" applyBorder="1"/>
    <xf numFmtId="0" fontId="16" fillId="0" borderId="23" xfId="0" applyFont="1" applyBorder="1"/>
    <xf numFmtId="0" fontId="16" fillId="0" borderId="24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21" fillId="0" borderId="26" xfId="0" applyFont="1" applyBorder="1" applyAlignment="1">
      <alignment horizontal="left" vertical="center"/>
    </xf>
    <xf numFmtId="164" fontId="22" fillId="0" borderId="12" xfId="0" applyNumberFormat="1" applyFont="1" applyBorder="1" applyAlignment="1" applyProtection="1">
      <alignment horizontal="center"/>
      <protection locked="0"/>
    </xf>
    <xf numFmtId="2" fontId="22" fillId="0" borderId="13" xfId="0" applyNumberFormat="1" applyFont="1" applyBorder="1" applyAlignment="1" applyProtection="1">
      <alignment horizontal="center"/>
      <protection locked="0"/>
    </xf>
    <xf numFmtId="164" fontId="23" fillId="0" borderId="27" xfId="0" applyNumberFormat="1" applyFont="1" applyBorder="1"/>
    <xf numFmtId="164" fontId="23" fillId="0" borderId="28" xfId="0" applyNumberFormat="1" applyFont="1" applyBorder="1"/>
    <xf numFmtId="0" fontId="24" fillId="0" borderId="0" xfId="0" applyFont="1"/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</cellXfs>
  <cellStyles count="9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'Verification with VCEG-M33'!$A$3</c:f>
              <c:strCache>
                <c:ptCount val="1"/>
                <c:pt idx="0">
                  <c:v>Curve1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VCEG-M33'!$A$5:$A$8</c:f>
              <c:numCache>
                <c:formatCode>General</c:formatCode>
                <c:ptCount val="4"/>
                <c:pt idx="0">
                  <c:v>90.33</c:v>
                </c:pt>
                <c:pt idx="1">
                  <c:v>181.03</c:v>
                </c:pt>
                <c:pt idx="2">
                  <c:v>332.99</c:v>
                </c:pt>
                <c:pt idx="3">
                  <c:v>547.79</c:v>
                </c:pt>
              </c:numCache>
            </c:numRef>
          </c:xVal>
          <c:yVal>
            <c:numRef>
              <c:f>'Verification with VCEG-M33'!$B$5:$B$8</c:f>
              <c:numCache>
                <c:formatCode>General</c:formatCode>
                <c:ptCount val="4"/>
                <c:pt idx="0">
                  <c:v>27.95</c:v>
                </c:pt>
                <c:pt idx="1">
                  <c:v>31.17</c:v>
                </c:pt>
                <c:pt idx="2">
                  <c:v>34.44</c:v>
                </c:pt>
                <c:pt idx="3">
                  <c:v>38.11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'Verification with VCEG-M33'!$C$3</c:f>
              <c:strCache>
                <c:ptCount val="1"/>
                <c:pt idx="0">
                  <c:v>Curve2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VCEG-M33'!$C$5:$C$8</c:f>
              <c:numCache>
                <c:formatCode>General</c:formatCode>
                <c:ptCount val="4"/>
                <c:pt idx="0">
                  <c:v>127.1719</c:v>
                </c:pt>
                <c:pt idx="1">
                  <c:v>186.14</c:v>
                </c:pt>
                <c:pt idx="2">
                  <c:v>307.2924</c:v>
                </c:pt>
                <c:pt idx="3">
                  <c:v>481.5588</c:v>
                </c:pt>
              </c:numCache>
            </c:numRef>
          </c:xVal>
          <c:yVal>
            <c:numRef>
              <c:f>'Verification with VCEG-M33'!$D$5:$D$8</c:f>
              <c:numCache>
                <c:formatCode>General</c:formatCode>
                <c:ptCount val="4"/>
                <c:pt idx="0">
                  <c:v>29.9286</c:v>
                </c:pt>
                <c:pt idx="1">
                  <c:v>32.4165</c:v>
                </c:pt>
                <c:pt idx="2" formatCode="#,##0.0000">
                  <c:v>34.7013</c:v>
                </c:pt>
                <c:pt idx="3">
                  <c:v>37.4561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.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7"/>
          <c:y val="0.40409227299273"/>
          <c:w val="0.100938874718125"/>
          <c:h val="0.184143222506394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6</xdr:row>
      <xdr:rowOff>114300</xdr:rowOff>
    </xdr:from>
    <xdr:to>
      <xdr:col>20</xdr:col>
      <xdr:colOff>38100</xdr:colOff>
      <xdr:row>34</xdr:row>
      <xdr:rowOff>101600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jontegaard_etro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BDBR"/>
      <definedName name="BDSN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31"/>
  <sheetViews>
    <sheetView tabSelected="1" workbookViewId="0">
      <selection activeCell="A27" sqref="A27"/>
    </sheetView>
  </sheetViews>
  <sheetFormatPr baseColWidth="10" defaultRowHeight="15" x14ac:dyDescent="0.2"/>
  <sheetData>
    <row r="1" spans="1:5" x14ac:dyDescent="0.2">
      <c r="A1" s="1" t="s">
        <v>22</v>
      </c>
    </row>
    <row r="3" spans="1:5" x14ac:dyDescent="0.2">
      <c r="A3" s="1" t="s">
        <v>28</v>
      </c>
    </row>
    <row r="4" spans="1:5" x14ac:dyDescent="0.2">
      <c r="B4" t="s">
        <v>23</v>
      </c>
      <c r="E4" t="s">
        <v>24</v>
      </c>
    </row>
    <row r="5" spans="1:5" x14ac:dyDescent="0.2">
      <c r="B5" t="s">
        <v>25</v>
      </c>
      <c r="E5" t="s">
        <v>26</v>
      </c>
    </row>
    <row r="7" spans="1:5" x14ac:dyDescent="0.2">
      <c r="A7" s="1" t="s">
        <v>27</v>
      </c>
    </row>
    <row r="8" spans="1:5" x14ac:dyDescent="0.2">
      <c r="B8" t="s">
        <v>29</v>
      </c>
    </row>
    <row r="10" spans="1:5" x14ac:dyDescent="0.2">
      <c r="A10" s="1" t="s">
        <v>30</v>
      </c>
    </row>
    <row r="11" spans="1:5" x14ac:dyDescent="0.2">
      <c r="B11" t="s">
        <v>31</v>
      </c>
    </row>
    <row r="12" spans="1:5" x14ac:dyDescent="0.2">
      <c r="B12" t="s">
        <v>32</v>
      </c>
    </row>
    <row r="14" spans="1:5" x14ac:dyDescent="0.2">
      <c r="A14" s="43" t="s">
        <v>33</v>
      </c>
    </row>
    <row r="15" spans="1:5" x14ac:dyDescent="0.2">
      <c r="A15" s="43" t="s">
        <v>34</v>
      </c>
    </row>
    <row r="16" spans="1:5" x14ac:dyDescent="0.2">
      <c r="A16" s="43"/>
    </row>
    <row r="17" spans="1:1" x14ac:dyDescent="0.2">
      <c r="A17" s="43" t="s">
        <v>35</v>
      </c>
    </row>
    <row r="18" spans="1:1" x14ac:dyDescent="0.2">
      <c r="A18" s="43" t="s">
        <v>36</v>
      </c>
    </row>
    <row r="19" spans="1:1" x14ac:dyDescent="0.2">
      <c r="A19" s="43" t="s">
        <v>37</v>
      </c>
    </row>
    <row r="20" spans="1:1" x14ac:dyDescent="0.2">
      <c r="A20" s="43" t="s">
        <v>38</v>
      </c>
    </row>
    <row r="21" spans="1:1" x14ac:dyDescent="0.2">
      <c r="A21" s="43" t="s">
        <v>39</v>
      </c>
    </row>
    <row r="22" spans="1:1" x14ac:dyDescent="0.2">
      <c r="A22" s="43"/>
    </row>
    <row r="23" spans="1:1" x14ac:dyDescent="0.2">
      <c r="A23" t="s">
        <v>40</v>
      </c>
    </row>
    <row r="24" spans="1:1" x14ac:dyDescent="0.2">
      <c r="A24" t="s">
        <v>41</v>
      </c>
    </row>
    <row r="26" spans="1:1" x14ac:dyDescent="0.2">
      <c r="A26" t="s">
        <v>47</v>
      </c>
    </row>
    <row r="27" spans="1:1" x14ac:dyDescent="0.2">
      <c r="A27" t="s">
        <v>46</v>
      </c>
    </row>
    <row r="28" spans="1:1" x14ac:dyDescent="0.2">
      <c r="A28" t="s">
        <v>45</v>
      </c>
    </row>
    <row r="29" spans="1:1" x14ac:dyDescent="0.2">
      <c r="A29" t="s">
        <v>44</v>
      </c>
    </row>
    <row r="30" spans="1:1" x14ac:dyDescent="0.2">
      <c r="A30" t="s">
        <v>43</v>
      </c>
    </row>
    <row r="31" spans="1:1" x14ac:dyDescent="0.2">
      <c r="A31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N11"/>
  <sheetViews>
    <sheetView workbookViewId="0">
      <selection activeCell="I3" sqref="I3"/>
    </sheetView>
  </sheetViews>
  <sheetFormatPr baseColWidth="10" defaultColWidth="8.796875" defaultRowHeight="15" x14ac:dyDescent="0.2"/>
  <cols>
    <col min="1" max="1" width="12.59765625" bestFit="1" customWidth="1"/>
    <col min="2" max="2" width="10.3984375" style="3" bestFit="1" customWidth="1"/>
    <col min="3" max="3" width="10.3984375" style="3" customWidth="1"/>
    <col min="9" max="10" width="8.796875" style="3"/>
    <col min="12" max="12" width="11.3984375" bestFit="1" customWidth="1"/>
  </cols>
  <sheetData>
    <row r="1" spans="1:14" x14ac:dyDescent="0.2">
      <c r="A1" s="45" t="s">
        <v>5</v>
      </c>
      <c r="B1" s="45"/>
      <c r="C1" s="5"/>
      <c r="D1" s="44" t="s">
        <v>1</v>
      </c>
      <c r="E1" s="44"/>
      <c r="F1" s="44" t="s">
        <v>2</v>
      </c>
      <c r="G1" s="44"/>
      <c r="H1" s="1"/>
      <c r="I1" s="12"/>
      <c r="J1" s="13"/>
    </row>
    <row r="2" spans="1:14" x14ac:dyDescent="0.2">
      <c r="A2" s="1" t="s">
        <v>3</v>
      </c>
      <c r="B2" s="2" t="s">
        <v>4</v>
      </c>
      <c r="C2" s="2" t="s">
        <v>10</v>
      </c>
      <c r="D2" s="2" t="s">
        <v>6</v>
      </c>
      <c r="E2" s="2" t="s">
        <v>7</v>
      </c>
      <c r="F2" s="2" t="s">
        <v>6</v>
      </c>
      <c r="G2" s="2" t="s">
        <v>7</v>
      </c>
      <c r="H2" s="11"/>
      <c r="I2" s="11" t="s">
        <v>9</v>
      </c>
      <c r="J2" s="11" t="s">
        <v>8</v>
      </c>
      <c r="K2" s="11"/>
    </row>
    <row r="3" spans="1:14" x14ac:dyDescent="0.2">
      <c r="A3" t="s">
        <v>0</v>
      </c>
      <c r="B3" s="3">
        <v>3</v>
      </c>
      <c r="C3" s="3" t="str">
        <f t="shared" ref="C3:C11" si="0">"32x32"</f>
        <v>32x32</v>
      </c>
      <c r="D3" s="4">
        <v>2.99899</v>
      </c>
      <c r="E3" s="4">
        <v>48.668100000000003</v>
      </c>
      <c r="F3" s="4">
        <v>2.9972530000000002</v>
      </c>
      <c r="G3" s="4">
        <v>48.563699999999997</v>
      </c>
      <c r="H3" s="4"/>
      <c r="I3" s="3">
        <f>[1]!BDSNR($D3:$D11,$E3:$E11,$F3:$F11,$G3:$G11)</f>
        <v>7.3592313229533551E-2</v>
      </c>
      <c r="J3" s="3">
        <f>[1]!BDBR($D3:$D11,$E3:$E11,$F3:$F11,$G3:$G11)</f>
        <v>-0.94502462371222062</v>
      </c>
      <c r="M3" s="6"/>
      <c r="N3" s="9"/>
    </row>
    <row r="4" spans="1:14" x14ac:dyDescent="0.2">
      <c r="A4" t="s">
        <v>0</v>
      </c>
      <c r="B4" s="3">
        <v>2</v>
      </c>
      <c r="C4" s="3" t="str">
        <f t="shared" si="0"/>
        <v>32x32</v>
      </c>
      <c r="D4" s="4">
        <v>1.99884</v>
      </c>
      <c r="E4" s="4">
        <v>43.835700000000003</v>
      </c>
      <c r="F4" s="4">
        <v>1.9682919999999999</v>
      </c>
      <c r="G4" s="4">
        <v>43.7318</v>
      </c>
      <c r="H4" s="4"/>
      <c r="M4" s="7"/>
      <c r="N4" s="8"/>
    </row>
    <row r="5" spans="1:14" x14ac:dyDescent="0.2">
      <c r="A5" t="s">
        <v>0</v>
      </c>
      <c r="B5" s="3">
        <v>1.5</v>
      </c>
      <c r="C5" s="3" t="str">
        <f t="shared" si="0"/>
        <v>32x32</v>
      </c>
      <c r="D5" s="4">
        <v>1.4967299999999999</v>
      </c>
      <c r="E5" s="4">
        <v>41.398200000000003</v>
      </c>
      <c r="F5" s="4">
        <v>1.4725649999999999</v>
      </c>
      <c r="G5" s="4">
        <v>41.2727</v>
      </c>
      <c r="H5" s="4"/>
      <c r="M5" s="7"/>
      <c r="N5" s="9"/>
    </row>
    <row r="6" spans="1:14" x14ac:dyDescent="0.2">
      <c r="A6" t="s">
        <v>0</v>
      </c>
      <c r="B6" s="3">
        <v>1</v>
      </c>
      <c r="C6" s="3" t="str">
        <f t="shared" si="0"/>
        <v>32x32</v>
      </c>
      <c r="D6" s="4">
        <v>0.99707000000000001</v>
      </c>
      <c r="E6" s="4">
        <v>38.0124</v>
      </c>
      <c r="F6" s="4">
        <v>0.99496499999999999</v>
      </c>
      <c r="G6" s="4">
        <v>38.000100000000003</v>
      </c>
      <c r="H6" s="4"/>
      <c r="M6" s="7"/>
      <c r="N6" s="10"/>
    </row>
    <row r="7" spans="1:14" x14ac:dyDescent="0.2">
      <c r="A7" t="s">
        <v>0</v>
      </c>
      <c r="B7" s="3">
        <v>0.75</v>
      </c>
      <c r="C7" s="3" t="str">
        <f t="shared" si="0"/>
        <v>32x32</v>
      </c>
      <c r="D7" s="4">
        <v>0.74594099999999997</v>
      </c>
      <c r="E7" s="4">
        <v>35.5122</v>
      </c>
      <c r="F7" s="4">
        <v>0.74887099999999995</v>
      </c>
      <c r="G7" s="4">
        <v>35.637500000000003</v>
      </c>
      <c r="H7" s="4"/>
      <c r="M7" s="7"/>
      <c r="N7" s="10"/>
    </row>
    <row r="8" spans="1:14" x14ac:dyDescent="0.2">
      <c r="A8" t="s">
        <v>0</v>
      </c>
      <c r="B8" s="3">
        <v>0.6</v>
      </c>
      <c r="C8" s="3" t="str">
        <f t="shared" si="0"/>
        <v>32x32</v>
      </c>
      <c r="D8" s="4">
        <v>0.59643599999999997</v>
      </c>
      <c r="E8" s="4">
        <v>33.8673</v>
      </c>
      <c r="F8" s="4">
        <v>0.58901999999999999</v>
      </c>
      <c r="G8" s="4">
        <v>33.905700000000003</v>
      </c>
      <c r="H8" s="4"/>
      <c r="M8" s="7"/>
      <c r="N8" s="10"/>
    </row>
    <row r="9" spans="1:14" x14ac:dyDescent="0.2">
      <c r="A9" t="s">
        <v>0</v>
      </c>
      <c r="B9" s="3">
        <v>0.5</v>
      </c>
      <c r="C9" s="3" t="str">
        <f t="shared" si="0"/>
        <v>32x32</v>
      </c>
      <c r="D9" s="4">
        <v>0.49514799999999998</v>
      </c>
      <c r="E9" s="4">
        <v>32.665799999999997</v>
      </c>
      <c r="F9" s="4">
        <v>0.49917600000000001</v>
      </c>
      <c r="G9" s="4">
        <v>32.831800000000001</v>
      </c>
      <c r="H9" s="4"/>
      <c r="M9" s="7"/>
      <c r="N9" s="9"/>
    </row>
    <row r="10" spans="1:14" x14ac:dyDescent="0.2">
      <c r="A10" t="s">
        <v>0</v>
      </c>
      <c r="B10" s="3">
        <v>0.3</v>
      </c>
      <c r="C10" s="3" t="str">
        <f t="shared" si="0"/>
        <v>32x32</v>
      </c>
      <c r="D10" s="4">
        <v>0.29425000000000001</v>
      </c>
      <c r="E10" s="4">
        <v>29.450500000000002</v>
      </c>
      <c r="F10" s="4">
        <v>0.29675299999999999</v>
      </c>
      <c r="G10" s="4">
        <v>29.685099999999998</v>
      </c>
      <c r="H10" s="4"/>
      <c r="M10" s="7"/>
      <c r="N10" s="10"/>
    </row>
    <row r="11" spans="1:14" x14ac:dyDescent="0.2">
      <c r="A11" t="s">
        <v>0</v>
      </c>
      <c r="B11" s="3">
        <v>0.25</v>
      </c>
      <c r="C11" s="3" t="str">
        <f t="shared" si="0"/>
        <v>32x32</v>
      </c>
      <c r="D11" s="4">
        <v>0.24404899999999999</v>
      </c>
      <c r="E11" s="4">
        <v>28.484000000000002</v>
      </c>
      <c r="F11" s="4">
        <v>0.24963399999999999</v>
      </c>
      <c r="G11" s="4">
        <v>28.824400000000001</v>
      </c>
      <c r="H11" s="4"/>
      <c r="M11" s="7"/>
      <c r="N11" s="10"/>
    </row>
  </sheetData>
  <mergeCells count="3">
    <mergeCell ref="D1:E1"/>
    <mergeCell ref="F1:G1"/>
    <mergeCell ref="A1:B1"/>
  </mergeCell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N102"/>
  <sheetViews>
    <sheetView workbookViewId="0">
      <selection activeCell="P3" sqref="P3"/>
    </sheetView>
  </sheetViews>
  <sheetFormatPr baseColWidth="10" defaultColWidth="8.796875" defaultRowHeight="15" x14ac:dyDescent="0.2"/>
  <cols>
    <col min="1" max="1" width="10" bestFit="1" customWidth="1"/>
    <col min="2" max="2" width="8" style="34" bestFit="1" customWidth="1"/>
    <col min="3" max="3" width="10" bestFit="1" customWidth="1"/>
    <col min="4" max="4" width="8" style="34" bestFit="1" customWidth="1"/>
    <col min="5" max="5" width="11.796875" bestFit="1" customWidth="1"/>
    <col min="6" max="6" width="9.796875" bestFit="1" customWidth="1"/>
    <col min="7" max="7" width="10.3984375" bestFit="1" customWidth="1"/>
    <col min="8" max="8" width="9" bestFit="1" customWidth="1"/>
    <col min="12" max="12" width="17" customWidth="1"/>
    <col min="13" max="13" width="10.3984375" bestFit="1" customWidth="1"/>
  </cols>
  <sheetData>
    <row r="1" spans="1:14" x14ac:dyDescent="0.2">
      <c r="A1" s="1" t="s">
        <v>20</v>
      </c>
      <c r="L1" s="1" t="s">
        <v>21</v>
      </c>
    </row>
    <row r="2" spans="1:14" ht="16" thickBot="1" x14ac:dyDescent="0.25"/>
    <row r="3" spans="1:14" x14ac:dyDescent="0.2">
      <c r="A3" s="46" t="s">
        <v>11</v>
      </c>
      <c r="B3" s="47"/>
      <c r="C3" s="46" t="s">
        <v>12</v>
      </c>
      <c r="D3" s="47"/>
      <c r="E3" s="14" t="s">
        <v>13</v>
      </c>
      <c r="F3" s="15" t="s">
        <v>14</v>
      </c>
      <c r="G3" s="14" t="s">
        <v>15</v>
      </c>
      <c r="H3" s="16" t="s">
        <v>16</v>
      </c>
      <c r="I3" s="17"/>
      <c r="J3" s="18"/>
      <c r="L3" s="35" t="s">
        <v>19</v>
      </c>
      <c r="M3" s="36" t="s">
        <v>13</v>
      </c>
      <c r="N3" s="37" t="s">
        <v>14</v>
      </c>
    </row>
    <row r="4" spans="1:14" ht="17" thickBot="1" x14ac:dyDescent="0.25">
      <c r="A4" s="19" t="s">
        <v>17</v>
      </c>
      <c r="B4" s="20" t="s">
        <v>18</v>
      </c>
      <c r="C4" s="21" t="s">
        <v>17</v>
      </c>
      <c r="D4" s="20" t="s">
        <v>18</v>
      </c>
      <c r="E4" s="39">
        <v>0.80071318397395785</v>
      </c>
      <c r="F4" s="40">
        <v>-13.261772993093556</v>
      </c>
      <c r="G4" s="22">
        <v>4</v>
      </c>
      <c r="H4" s="23">
        <v>4</v>
      </c>
      <c r="I4" s="24" t="str">
        <f>A3</f>
        <v>Curve1</v>
      </c>
      <c r="L4" s="38"/>
      <c r="M4" s="41">
        <f>[1]!BDSNR(A5:A8,B5:B8,C5:C8,D5:D8)</f>
        <v>0.80071318397395785</v>
      </c>
      <c r="N4" s="42">
        <f>[1]!BDBR(A5:A8,B5:B8,C5:C8,D5:D8)</f>
        <v>-13.261772993093556</v>
      </c>
    </row>
    <row r="5" spans="1:14" x14ac:dyDescent="0.2">
      <c r="A5" s="25">
        <v>90.33</v>
      </c>
      <c r="B5" s="25">
        <v>27.95</v>
      </c>
      <c r="C5" s="26">
        <v>127.17189999999999</v>
      </c>
      <c r="D5" s="27">
        <v>29.928599999999999</v>
      </c>
      <c r="G5" s="22">
        <v>4</v>
      </c>
      <c r="H5" s="23">
        <v>4</v>
      </c>
      <c r="I5" s="28" t="str">
        <f>C3</f>
        <v>Curve2</v>
      </c>
    </row>
    <row r="6" spans="1:14" x14ac:dyDescent="0.2">
      <c r="A6" s="25">
        <v>181.03</v>
      </c>
      <c r="B6" s="25">
        <v>31.17</v>
      </c>
      <c r="C6" s="26">
        <v>186.14</v>
      </c>
      <c r="D6" s="27">
        <v>32.416499999999999</v>
      </c>
    </row>
    <row r="7" spans="1:14" x14ac:dyDescent="0.2">
      <c r="A7" s="25">
        <v>332.99</v>
      </c>
      <c r="B7" s="25">
        <v>34.44</v>
      </c>
      <c r="C7" s="26">
        <v>307.29239999999999</v>
      </c>
      <c r="D7" s="29">
        <v>34.701300000000003</v>
      </c>
    </row>
    <row r="8" spans="1:14" x14ac:dyDescent="0.2">
      <c r="A8" s="25">
        <v>547.79</v>
      </c>
      <c r="B8" s="25">
        <v>38.11</v>
      </c>
      <c r="C8" s="26">
        <v>481.55880000000002</v>
      </c>
      <c r="D8" s="27">
        <v>37.456099999999999</v>
      </c>
    </row>
    <row r="9" spans="1:14" x14ac:dyDescent="0.2">
      <c r="A9" s="30"/>
      <c r="B9" s="31"/>
      <c r="C9" s="32"/>
      <c r="D9" s="31"/>
    </row>
    <row r="10" spans="1:14" x14ac:dyDescent="0.2">
      <c r="A10" s="33"/>
      <c r="B10" s="31"/>
      <c r="C10" s="32"/>
      <c r="D10" s="31"/>
    </row>
    <row r="11" spans="1:14" x14ac:dyDescent="0.2">
      <c r="A11" s="33"/>
      <c r="B11" s="31"/>
      <c r="C11" s="33"/>
      <c r="D11" s="31"/>
    </row>
    <row r="12" spans="1:14" x14ac:dyDescent="0.2">
      <c r="A12" s="33"/>
      <c r="B12" s="31"/>
      <c r="C12" s="33"/>
      <c r="D12" s="31"/>
    </row>
    <row r="13" spans="1:14" x14ac:dyDescent="0.2">
      <c r="A13" s="33"/>
      <c r="B13" s="31"/>
      <c r="C13" s="33"/>
      <c r="D13" s="31"/>
    </row>
    <row r="14" spans="1:14" x14ac:dyDescent="0.2">
      <c r="A14" s="33"/>
      <c r="B14" s="31"/>
      <c r="C14" s="33"/>
      <c r="D14" s="31"/>
    </row>
    <row r="15" spans="1:14" x14ac:dyDescent="0.2">
      <c r="A15" s="33"/>
      <c r="B15" s="31"/>
      <c r="C15" s="33"/>
      <c r="D15" s="31"/>
    </row>
    <row r="16" spans="1:14" x14ac:dyDescent="0.2">
      <c r="A16" s="33"/>
      <c r="B16" s="31"/>
      <c r="C16" s="33"/>
      <c r="D16" s="31"/>
    </row>
    <row r="17" spans="1:4" x14ac:dyDescent="0.2">
      <c r="A17" s="33"/>
      <c r="B17" s="31"/>
      <c r="C17" s="33"/>
      <c r="D17" s="31"/>
    </row>
    <row r="18" spans="1:4" x14ac:dyDescent="0.2">
      <c r="A18" s="33"/>
      <c r="B18" s="31"/>
      <c r="C18" s="33"/>
      <c r="D18" s="31"/>
    </row>
    <row r="19" spans="1:4" x14ac:dyDescent="0.2">
      <c r="A19" s="33"/>
      <c r="B19" s="31"/>
      <c r="C19" s="33"/>
      <c r="D19" s="31"/>
    </row>
    <row r="20" spans="1:4" x14ac:dyDescent="0.2">
      <c r="A20" s="33"/>
      <c r="B20" s="31"/>
      <c r="C20" s="33"/>
      <c r="D20" s="31"/>
    </row>
    <row r="21" spans="1:4" x14ac:dyDescent="0.2">
      <c r="A21" s="33"/>
      <c r="B21" s="31"/>
      <c r="C21" s="33"/>
      <c r="D21" s="31"/>
    </row>
    <row r="22" spans="1:4" x14ac:dyDescent="0.2">
      <c r="A22" s="33"/>
      <c r="B22" s="31"/>
      <c r="C22" s="33"/>
      <c r="D22" s="31"/>
    </row>
    <row r="23" spans="1:4" x14ac:dyDescent="0.2">
      <c r="A23" s="33"/>
      <c r="B23" s="31"/>
      <c r="C23" s="33"/>
      <c r="D23" s="31"/>
    </row>
    <row r="24" spans="1:4" x14ac:dyDescent="0.2">
      <c r="A24" s="33"/>
      <c r="B24" s="31"/>
      <c r="C24" s="33"/>
      <c r="D24" s="31"/>
    </row>
    <row r="25" spans="1:4" x14ac:dyDescent="0.2">
      <c r="A25" s="33"/>
      <c r="B25" s="31"/>
      <c r="C25" s="33"/>
      <c r="D25" s="31"/>
    </row>
    <row r="26" spans="1:4" x14ac:dyDescent="0.2">
      <c r="A26" s="33"/>
      <c r="B26" s="31"/>
      <c r="C26" s="33"/>
      <c r="D26" s="31"/>
    </row>
    <row r="27" spans="1:4" x14ac:dyDescent="0.2">
      <c r="A27" s="33"/>
      <c r="B27" s="31"/>
      <c r="C27" s="33"/>
      <c r="D27" s="31"/>
    </row>
    <row r="28" spans="1:4" x14ac:dyDescent="0.2">
      <c r="A28" s="33"/>
      <c r="B28" s="31"/>
      <c r="C28" s="33"/>
      <c r="D28" s="31"/>
    </row>
    <row r="29" spans="1:4" x14ac:dyDescent="0.2">
      <c r="A29" s="33"/>
      <c r="B29" s="31"/>
      <c r="C29" s="33"/>
      <c r="D29" s="31"/>
    </row>
    <row r="30" spans="1:4" x14ac:dyDescent="0.2">
      <c r="A30" s="33"/>
      <c r="B30" s="31"/>
      <c r="C30" s="33"/>
      <c r="D30" s="31"/>
    </row>
    <row r="31" spans="1:4" x14ac:dyDescent="0.2">
      <c r="A31" s="33"/>
      <c r="B31" s="31"/>
      <c r="C31" s="33"/>
      <c r="D31" s="31"/>
    </row>
    <row r="32" spans="1:4" x14ac:dyDescent="0.2">
      <c r="A32" s="33"/>
      <c r="B32" s="31"/>
      <c r="C32" s="33"/>
      <c r="D32" s="31"/>
    </row>
    <row r="33" spans="1:4" x14ac:dyDescent="0.2">
      <c r="A33" s="33"/>
      <c r="B33" s="31"/>
      <c r="C33" s="33"/>
      <c r="D33" s="31"/>
    </row>
    <row r="34" spans="1:4" x14ac:dyDescent="0.2">
      <c r="A34" s="33"/>
      <c r="B34" s="31"/>
      <c r="C34" s="33"/>
      <c r="D34" s="31"/>
    </row>
    <row r="35" spans="1:4" x14ac:dyDescent="0.2">
      <c r="A35" s="33"/>
      <c r="B35" s="31"/>
      <c r="C35" s="33"/>
      <c r="D35" s="31"/>
    </row>
    <row r="36" spans="1:4" x14ac:dyDescent="0.2">
      <c r="A36" s="33"/>
      <c r="B36" s="31"/>
      <c r="C36" s="33"/>
      <c r="D36" s="31"/>
    </row>
    <row r="37" spans="1:4" x14ac:dyDescent="0.2">
      <c r="A37" s="33"/>
      <c r="B37" s="31"/>
      <c r="C37" s="33"/>
      <c r="D37" s="31"/>
    </row>
    <row r="38" spans="1:4" x14ac:dyDescent="0.2">
      <c r="A38" s="33"/>
      <c r="B38" s="31"/>
      <c r="C38" s="33"/>
      <c r="D38" s="31"/>
    </row>
    <row r="39" spans="1:4" x14ac:dyDescent="0.2">
      <c r="A39" s="33"/>
      <c r="B39" s="31"/>
      <c r="C39" s="33"/>
      <c r="D39" s="31"/>
    </row>
    <row r="40" spans="1:4" x14ac:dyDescent="0.2">
      <c r="A40" s="33"/>
      <c r="B40" s="31"/>
      <c r="C40" s="33"/>
      <c r="D40" s="31"/>
    </row>
    <row r="41" spans="1:4" x14ac:dyDescent="0.2">
      <c r="A41" s="33"/>
      <c r="B41" s="31"/>
      <c r="C41" s="33"/>
      <c r="D41" s="31"/>
    </row>
    <row r="42" spans="1:4" x14ac:dyDescent="0.2">
      <c r="A42" s="33"/>
      <c r="B42" s="31"/>
      <c r="C42" s="33"/>
      <c r="D42" s="31"/>
    </row>
    <row r="43" spans="1:4" x14ac:dyDescent="0.2">
      <c r="A43" s="33"/>
      <c r="B43" s="31"/>
      <c r="C43" s="33"/>
      <c r="D43" s="31"/>
    </row>
    <row r="44" spans="1:4" x14ac:dyDescent="0.2">
      <c r="A44" s="33"/>
      <c r="B44" s="31"/>
      <c r="C44" s="33"/>
      <c r="D44" s="31"/>
    </row>
    <row r="45" spans="1:4" x14ac:dyDescent="0.2">
      <c r="A45" s="33"/>
      <c r="B45" s="31"/>
      <c r="C45" s="33"/>
      <c r="D45" s="31"/>
    </row>
    <row r="46" spans="1:4" x14ac:dyDescent="0.2">
      <c r="A46" s="33"/>
      <c r="B46" s="31"/>
      <c r="C46" s="33"/>
      <c r="D46" s="31"/>
    </row>
    <row r="47" spans="1:4" x14ac:dyDescent="0.2">
      <c r="A47" s="33"/>
      <c r="B47" s="31"/>
      <c r="C47" s="33"/>
      <c r="D47" s="31"/>
    </row>
    <row r="48" spans="1:4" x14ac:dyDescent="0.2">
      <c r="A48" s="33"/>
      <c r="B48" s="31"/>
      <c r="C48" s="33"/>
      <c r="D48" s="31"/>
    </row>
    <row r="49" spans="1:4" x14ac:dyDescent="0.2">
      <c r="A49" s="33"/>
      <c r="B49" s="31"/>
      <c r="C49" s="33"/>
      <c r="D49" s="31"/>
    </row>
    <row r="50" spans="1:4" x14ac:dyDescent="0.2">
      <c r="A50" s="33"/>
      <c r="B50" s="31"/>
      <c r="C50" s="33"/>
      <c r="D50" s="31"/>
    </row>
    <row r="51" spans="1:4" x14ac:dyDescent="0.2">
      <c r="A51" s="33"/>
      <c r="B51" s="31"/>
      <c r="C51" s="33"/>
      <c r="D51" s="31"/>
    </row>
    <row r="52" spans="1:4" x14ac:dyDescent="0.2">
      <c r="A52" s="33"/>
      <c r="B52" s="31"/>
      <c r="C52" s="33"/>
      <c r="D52" s="31"/>
    </row>
    <row r="53" spans="1:4" x14ac:dyDescent="0.2">
      <c r="A53" s="33"/>
      <c r="B53" s="31"/>
      <c r="C53" s="33"/>
      <c r="D53" s="31"/>
    </row>
    <row r="54" spans="1:4" x14ac:dyDescent="0.2">
      <c r="A54" s="33"/>
      <c r="B54" s="31"/>
      <c r="C54" s="33"/>
      <c r="D54" s="31"/>
    </row>
    <row r="55" spans="1:4" x14ac:dyDescent="0.2">
      <c r="A55" s="33"/>
      <c r="B55" s="31"/>
      <c r="C55" s="33"/>
      <c r="D55" s="31"/>
    </row>
    <row r="56" spans="1:4" x14ac:dyDescent="0.2">
      <c r="A56" s="33"/>
      <c r="B56" s="31"/>
      <c r="C56" s="33"/>
      <c r="D56" s="31"/>
    </row>
    <row r="57" spans="1:4" x14ac:dyDescent="0.2">
      <c r="A57" s="33"/>
      <c r="B57" s="31"/>
      <c r="C57" s="33"/>
      <c r="D57" s="31"/>
    </row>
    <row r="58" spans="1:4" x14ac:dyDescent="0.2">
      <c r="A58" s="33"/>
      <c r="B58" s="31"/>
      <c r="C58" s="33"/>
      <c r="D58" s="31"/>
    </row>
    <row r="59" spans="1:4" x14ac:dyDescent="0.2">
      <c r="A59" s="33"/>
      <c r="B59" s="31"/>
      <c r="C59" s="33"/>
      <c r="D59" s="31"/>
    </row>
    <row r="60" spans="1:4" x14ac:dyDescent="0.2">
      <c r="A60" s="33"/>
      <c r="B60" s="31"/>
      <c r="C60" s="33"/>
      <c r="D60" s="31"/>
    </row>
    <row r="61" spans="1:4" x14ac:dyDescent="0.2">
      <c r="A61" s="33"/>
      <c r="B61" s="31"/>
      <c r="C61" s="33"/>
      <c r="D61" s="31"/>
    </row>
    <row r="62" spans="1:4" x14ac:dyDescent="0.2">
      <c r="A62" s="33"/>
      <c r="B62" s="31"/>
      <c r="C62" s="33"/>
      <c r="D62" s="31"/>
    </row>
    <row r="63" spans="1:4" x14ac:dyDescent="0.2">
      <c r="A63" s="33"/>
      <c r="B63" s="31"/>
      <c r="C63" s="33"/>
      <c r="D63" s="31"/>
    </row>
    <row r="64" spans="1:4" x14ac:dyDescent="0.2">
      <c r="A64" s="33"/>
      <c r="B64" s="31"/>
      <c r="C64" s="33"/>
      <c r="D64" s="31"/>
    </row>
    <row r="65" spans="1:4" x14ac:dyDescent="0.2">
      <c r="A65" s="33"/>
      <c r="B65" s="31"/>
      <c r="C65" s="33"/>
      <c r="D65" s="31"/>
    </row>
    <row r="66" spans="1:4" x14ac:dyDescent="0.2">
      <c r="A66" s="33"/>
      <c r="B66" s="31"/>
      <c r="C66" s="33"/>
      <c r="D66" s="31"/>
    </row>
    <row r="67" spans="1:4" x14ac:dyDescent="0.2">
      <c r="A67" s="33"/>
      <c r="B67" s="31"/>
      <c r="C67" s="33"/>
      <c r="D67" s="31"/>
    </row>
    <row r="68" spans="1:4" x14ac:dyDescent="0.2">
      <c r="A68" s="33"/>
      <c r="B68" s="31"/>
      <c r="C68" s="33"/>
      <c r="D68" s="31"/>
    </row>
    <row r="69" spans="1:4" x14ac:dyDescent="0.2">
      <c r="A69" s="33"/>
      <c r="B69" s="31"/>
      <c r="C69" s="33"/>
      <c r="D69" s="31"/>
    </row>
    <row r="70" spans="1:4" x14ac:dyDescent="0.2">
      <c r="A70" s="33"/>
      <c r="B70" s="31"/>
      <c r="C70" s="33"/>
      <c r="D70" s="31"/>
    </row>
    <row r="71" spans="1:4" x14ac:dyDescent="0.2">
      <c r="A71" s="33"/>
      <c r="B71" s="31"/>
      <c r="C71" s="33"/>
      <c r="D71" s="31"/>
    </row>
    <row r="72" spans="1:4" x14ac:dyDescent="0.2">
      <c r="A72" s="33"/>
      <c r="B72" s="31"/>
      <c r="C72" s="33"/>
      <c r="D72" s="31"/>
    </row>
    <row r="73" spans="1:4" x14ac:dyDescent="0.2">
      <c r="A73" s="33"/>
      <c r="B73" s="31"/>
      <c r="C73" s="33"/>
      <c r="D73" s="31"/>
    </row>
    <row r="74" spans="1:4" x14ac:dyDescent="0.2">
      <c r="A74" s="33"/>
      <c r="B74" s="31"/>
      <c r="C74" s="33"/>
      <c r="D74" s="31"/>
    </row>
    <row r="75" spans="1:4" x14ac:dyDescent="0.2">
      <c r="A75" s="33"/>
      <c r="B75" s="31"/>
      <c r="C75" s="33"/>
      <c r="D75" s="31"/>
    </row>
    <row r="76" spans="1:4" x14ac:dyDescent="0.2">
      <c r="A76" s="33"/>
      <c r="B76" s="31"/>
      <c r="C76" s="33"/>
      <c r="D76" s="31"/>
    </row>
    <row r="77" spans="1:4" x14ac:dyDescent="0.2">
      <c r="A77" s="33"/>
      <c r="B77" s="31"/>
      <c r="C77" s="33"/>
      <c r="D77" s="31"/>
    </row>
    <row r="78" spans="1:4" x14ac:dyDescent="0.2">
      <c r="A78" s="33"/>
      <c r="B78" s="31"/>
      <c r="C78" s="33"/>
      <c r="D78" s="31"/>
    </row>
    <row r="79" spans="1:4" x14ac:dyDescent="0.2">
      <c r="A79" s="33"/>
      <c r="B79" s="31"/>
      <c r="C79" s="33"/>
      <c r="D79" s="31"/>
    </row>
    <row r="80" spans="1:4" x14ac:dyDescent="0.2">
      <c r="A80" s="33"/>
      <c r="B80" s="31"/>
      <c r="C80" s="33"/>
      <c r="D80" s="31"/>
    </row>
    <row r="81" spans="1:4" x14ac:dyDescent="0.2">
      <c r="A81" s="33"/>
      <c r="B81" s="31"/>
      <c r="C81" s="33"/>
      <c r="D81" s="31"/>
    </row>
    <row r="82" spans="1:4" x14ac:dyDescent="0.2">
      <c r="A82" s="33"/>
      <c r="B82" s="31"/>
      <c r="C82" s="33"/>
      <c r="D82" s="31"/>
    </row>
    <row r="83" spans="1:4" x14ac:dyDescent="0.2">
      <c r="A83" s="33"/>
      <c r="B83" s="31"/>
      <c r="C83" s="33"/>
      <c r="D83" s="31"/>
    </row>
    <row r="84" spans="1:4" x14ac:dyDescent="0.2">
      <c r="A84" s="33"/>
      <c r="B84" s="31"/>
      <c r="C84" s="33"/>
      <c r="D84" s="31"/>
    </row>
    <row r="85" spans="1:4" x14ac:dyDescent="0.2">
      <c r="A85" s="33"/>
      <c r="B85" s="31"/>
      <c r="C85" s="33"/>
      <c r="D85" s="31"/>
    </row>
    <row r="86" spans="1:4" x14ac:dyDescent="0.2">
      <c r="A86" s="33"/>
      <c r="B86" s="31"/>
      <c r="C86" s="33"/>
      <c r="D86" s="31"/>
    </row>
    <row r="87" spans="1:4" x14ac:dyDescent="0.2">
      <c r="A87" s="33"/>
      <c r="B87" s="31"/>
      <c r="C87" s="33"/>
      <c r="D87" s="31"/>
    </row>
    <row r="88" spans="1:4" x14ac:dyDescent="0.2">
      <c r="A88" s="33"/>
      <c r="B88" s="31"/>
      <c r="C88" s="33"/>
      <c r="D88" s="31"/>
    </row>
    <row r="89" spans="1:4" x14ac:dyDescent="0.2">
      <c r="A89" s="33"/>
      <c r="B89" s="31"/>
      <c r="C89" s="33"/>
      <c r="D89" s="31"/>
    </row>
    <row r="90" spans="1:4" x14ac:dyDescent="0.2">
      <c r="A90" s="33"/>
      <c r="B90" s="31"/>
      <c r="C90" s="33"/>
      <c r="D90" s="31"/>
    </row>
    <row r="91" spans="1:4" x14ac:dyDescent="0.2">
      <c r="A91" s="33"/>
      <c r="B91" s="31"/>
      <c r="C91" s="33"/>
      <c r="D91" s="31"/>
    </row>
    <row r="92" spans="1:4" x14ac:dyDescent="0.2">
      <c r="A92" s="33"/>
      <c r="B92" s="31"/>
      <c r="C92" s="33"/>
      <c r="D92" s="31"/>
    </row>
    <row r="93" spans="1:4" x14ac:dyDescent="0.2">
      <c r="A93" s="33"/>
      <c r="B93" s="31"/>
      <c r="C93" s="33"/>
      <c r="D93" s="31"/>
    </row>
    <row r="94" spans="1:4" x14ac:dyDescent="0.2">
      <c r="A94" s="33"/>
      <c r="B94" s="31"/>
      <c r="C94" s="33"/>
      <c r="D94" s="31"/>
    </row>
    <row r="95" spans="1:4" x14ac:dyDescent="0.2">
      <c r="A95" s="33"/>
      <c r="B95" s="31"/>
      <c r="C95" s="33"/>
      <c r="D95" s="31"/>
    </row>
    <row r="96" spans="1:4" x14ac:dyDescent="0.2">
      <c r="A96" s="33"/>
      <c r="B96" s="31"/>
      <c r="C96" s="33"/>
      <c r="D96" s="31"/>
    </row>
    <row r="97" spans="1:4" x14ac:dyDescent="0.2">
      <c r="A97" s="33"/>
      <c r="B97" s="31"/>
      <c r="C97" s="33"/>
      <c r="D97" s="31"/>
    </row>
    <row r="98" spans="1:4" x14ac:dyDescent="0.2">
      <c r="A98" s="33"/>
      <c r="B98" s="31"/>
      <c r="C98" s="33"/>
      <c r="D98" s="31"/>
    </row>
    <row r="99" spans="1:4" x14ac:dyDescent="0.2">
      <c r="A99" s="33"/>
      <c r="B99" s="31"/>
      <c r="C99" s="33"/>
      <c r="D99" s="31"/>
    </row>
    <row r="100" spans="1:4" x14ac:dyDescent="0.2">
      <c r="A100" s="33"/>
      <c r="B100" s="31"/>
      <c r="C100" s="33"/>
      <c r="D100" s="31"/>
    </row>
    <row r="101" spans="1:4" x14ac:dyDescent="0.2">
      <c r="A101" s="33"/>
      <c r="B101" s="31"/>
      <c r="C101" s="33"/>
      <c r="D101" s="31"/>
    </row>
    <row r="102" spans="1:4" x14ac:dyDescent="0.2">
      <c r="A102" s="33"/>
      <c r="B102" s="31"/>
      <c r="C102" s="33"/>
      <c r="D102" s="31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License and usage</vt:lpstr>
      <vt:lpstr>ETRO Example 9-points</vt:lpstr>
      <vt:lpstr>Verification with VCEG-M33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Tbr</dc:creator>
  <cp:lastModifiedBy>Microsoft Office User</cp:lastModifiedBy>
  <dcterms:created xsi:type="dcterms:W3CDTF">2013-02-11T15:28:47Z</dcterms:created>
  <dcterms:modified xsi:type="dcterms:W3CDTF">2016-08-16T08:17:32Z</dcterms:modified>
</cp:coreProperties>
</file>